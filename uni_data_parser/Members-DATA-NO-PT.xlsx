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vetlana Tikheonenko\Desktop\"/>
    </mc:Choice>
  </mc:AlternateContent>
  <xr:revisionPtr revIDLastSave="0" documentId="13_ncr:1_{C5FBB943-BEAB-45EB-A0E2-E189DAEE90C8}" xr6:coauthVersionLast="47" xr6:coauthVersionMax="47" xr10:uidLastSave="{00000000-0000-0000-0000-000000000000}"/>
  <bookViews>
    <workbookView xWindow="-108" yWindow="-108" windowWidth="23256" windowHeight="12456" xr2:uid="{BAC3E86B-6597-405F-B819-EBD142BD75FB}"/>
  </bookViews>
  <sheets>
    <sheet name="Sheet1" sheetId="1" r:id="rId1"/>
  </sheets>
  <definedNames>
    <definedName name="_xlnm._FilterDatabase" localSheetId="0" hidden="1">Sheet1!$A$3:$K$125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8" i="1" l="1"/>
  <c r="I38" i="1"/>
  <c r="I52" i="1"/>
  <c r="J52" i="1"/>
  <c r="J45" i="1"/>
  <c r="I45" i="1"/>
  <c r="J44" i="1"/>
  <c r="I44" i="1"/>
  <c r="J51" i="1"/>
  <c r="I51" i="1"/>
  <c r="J37" i="1"/>
  <c r="I37" i="1"/>
  <c r="J34" i="1" l="1"/>
  <c r="I34" i="1"/>
  <c r="J36" i="1"/>
  <c r="I36" i="1"/>
  <c r="J48" i="1"/>
  <c r="I48" i="1"/>
  <c r="J50" i="1"/>
  <c r="I50" i="1"/>
  <c r="J43" i="1"/>
  <c r="I43" i="1"/>
  <c r="J41" i="1"/>
  <c r="I41" i="1"/>
  <c r="J49" i="1"/>
  <c r="I49" i="1"/>
  <c r="J47" i="1"/>
  <c r="I47" i="1"/>
  <c r="J40" i="1"/>
  <c r="I40" i="1"/>
  <c r="J42" i="1"/>
  <c r="I42" i="1"/>
  <c r="J33" i="1"/>
  <c r="I33" i="1"/>
  <c r="J35" i="1"/>
  <c r="I35" i="1"/>
  <c r="J46" i="1"/>
  <c r="I46" i="1"/>
  <c r="J39" i="1"/>
  <c r="I39" i="1"/>
  <c r="J32" i="1"/>
  <c r="I32" i="1"/>
  <c r="J10" i="1" l="1"/>
  <c r="I10" i="1"/>
  <c r="J8" i="1"/>
  <c r="I8" i="1"/>
  <c r="I6" i="1"/>
  <c r="J6" i="1"/>
  <c r="I13" i="1"/>
  <c r="J13" i="1"/>
  <c r="I15" i="1"/>
  <c r="J15" i="1"/>
  <c r="J17" i="1"/>
  <c r="I17" i="1"/>
  <c r="J24" i="1"/>
  <c r="I24" i="1"/>
  <c r="I20" i="1"/>
  <c r="J20" i="1"/>
  <c r="I22" i="1"/>
  <c r="J22" i="1"/>
  <c r="J29" i="1"/>
  <c r="I29" i="1"/>
  <c r="J27" i="1"/>
  <c r="I27" i="1"/>
  <c r="J28" i="1"/>
  <c r="I28" i="1"/>
  <c r="J16" i="1"/>
  <c r="I16" i="1"/>
  <c r="J23" i="1"/>
  <c r="I23" i="1"/>
  <c r="J9" i="1"/>
  <c r="I9" i="1"/>
  <c r="J7" i="1"/>
  <c r="I7" i="1"/>
  <c r="J14" i="1"/>
  <c r="I14" i="1"/>
  <c r="J21" i="1"/>
  <c r="I21" i="1"/>
  <c r="J19" i="1"/>
  <c r="I19" i="1"/>
  <c r="J18" i="1"/>
  <c r="I18" i="1"/>
  <c r="J12" i="1"/>
  <c r="I12" i="1"/>
  <c r="J11" i="1"/>
  <c r="I11" i="1"/>
  <c r="J26" i="1"/>
  <c r="I26" i="1"/>
  <c r="J25" i="1"/>
  <c r="I25" i="1"/>
  <c r="I4" i="1"/>
  <c r="I5" i="1"/>
  <c r="J5" i="1"/>
  <c r="J4" i="1"/>
</calcChain>
</file>

<file path=xl/sharedStrings.xml><?xml version="1.0" encoding="utf-8"?>
<sst xmlns="http://schemas.openxmlformats.org/spreadsheetml/2006/main" count="304" uniqueCount="61">
  <si>
    <t>Institution Name</t>
  </si>
  <si>
    <t>Institution Type</t>
  </si>
  <si>
    <t>2023-2024</t>
  </si>
  <si>
    <t>Population</t>
  </si>
  <si>
    <t>total</t>
  </si>
  <si>
    <t>female</t>
  </si>
  <si>
    <t>ratio per 1M</t>
  </si>
  <si>
    <t>female %</t>
  </si>
  <si>
    <t>Country</t>
  </si>
  <si>
    <t>Level</t>
  </si>
  <si>
    <t>Bachelor</t>
  </si>
  <si>
    <t>(RU)</t>
  </si>
  <si>
    <t>Portugal</t>
  </si>
  <si>
    <t>Master</t>
  </si>
  <si>
    <t>PhD</t>
  </si>
  <si>
    <t>Statistics</t>
  </si>
  <si>
    <t>First-year students</t>
  </si>
  <si>
    <t>Students all semesters</t>
  </si>
  <si>
    <t>Degrees awarded</t>
  </si>
  <si>
    <t>Universidade Nova de Lisboa</t>
  </si>
  <si>
    <t>University of Porto</t>
  </si>
  <si>
    <t>University of Lisbon</t>
  </si>
  <si>
    <t>Instituto Politécnico de Leiria</t>
  </si>
  <si>
    <t>(UAS)</t>
  </si>
  <si>
    <t>Engenharia Informática, Ciência de Dados</t>
  </si>
  <si>
    <t>Engenharia Informática</t>
  </si>
  <si>
    <t>Ciência de Computadores, Engenharia Informática e Computação, Inteligência Artificial e Ciência de Dados</t>
  </si>
  <si>
    <t>Engenharia Informática, Engenharia Informática e de Computadores, Tecnologias de Informação</t>
  </si>
  <si>
    <t>Engenharia Informática, Segurança Informática, Ciência de Dados, Informática, Gestão de Sistemas de Informação, Engenharia Informática e de Computadores, Modelação, Análise de Dados e Sistemas de Apoio à Decisão</t>
  </si>
  <si>
    <t>Ciência de Computadores, Ciência de Dados (Data Science), Engenharia de Redes e Sistemas Informáticos, Engenharia de Software, Engenharia Informática e Computação, Segurança Informática</t>
  </si>
  <si>
    <t>Engenharia Informática, Análise e Engenharia de Big Data</t>
  </si>
  <si>
    <t>Informática</t>
  </si>
  <si>
    <t>Engenharia Computacional, Informática, Segurança Informática, Engenharia Informática e de Computadores</t>
  </si>
  <si>
    <t>Ciência de Computadores, Engenharia Informática, Informática</t>
  </si>
  <si>
    <t>Ciência de Dados, Cibersegurança e Informática Forense, Engenharia Informática - Computação Móvel</t>
  </si>
  <si>
    <t>Engenharia Informática, Informática, Segurança Informática, Ciência de Dados, Engenharia Informática e de Computadores</t>
  </si>
  <si>
    <t>Informática, Engenharia Informática e de Computadores</t>
  </si>
  <si>
    <t>Ciência de Computadores, Ciência de Dados (Data Science), Engenharia de Redes e Sistemas Informáticos, Engenharia de Software, Engenharia Informática e Computação, Segurança Informática, Modelação, Análise de Dados e Sistemas de Apoio à Decisão</t>
  </si>
  <si>
    <t>Engenharia Informática, Ciência de Dados, Ciência e Engenharia Informática</t>
  </si>
  <si>
    <t>Norway</t>
  </si>
  <si>
    <t>Norwegian University of Science and Technology</t>
  </si>
  <si>
    <t>UiT The Arctic University of Norway</t>
  </si>
  <si>
    <t>University of Oslo</t>
  </si>
  <si>
    <t>Informatikk</t>
  </si>
  <si>
    <t>Data, IT-drift og informasjonssikkerhet, Datateknologi, Digital forretningsutvikling, Digital infrastruktur og cybersikkerhet, Informasjonsbehandling, Informatikk,Ingeniørvitenskap og IKT, Interaksjonsdesign, Kommunikasjonsteknologi og digital sikkerhet, Programmering, Webutvikling</t>
  </si>
  <si>
    <t>Applied Computer Science, Computer Science</t>
  </si>
  <si>
    <t>Datateknikk, Informatikk</t>
  </si>
  <si>
    <t>Datateknikk, Informatikk,Kunstig intelligens</t>
  </si>
  <si>
    <t>Datateknikk, Informatikk, Kunstig intelligens</t>
  </si>
  <si>
    <t>Computational Science, Data Science, Elektronikk, informatikk og teknologi,Forvaltningsinformatikk, Informatikk</t>
  </si>
  <si>
    <t>Elektronikk, informatikk og teknologi, Informatikk, Matematikk med informatikk</t>
  </si>
  <si>
    <t>Computational Science, Data Science, Elektronikk, informatikk og teknologi, Informatikk</t>
  </si>
  <si>
    <t>Computer Science</t>
  </si>
  <si>
    <t>Applied Computer Science, Computational Colour and Spectral Imaging, Datateknologi, Digital Infrastructure and Cyber Security, Information Security, Helseinformatikk, Informatics, Ingeniørvitenskap og IKT,  Interaction Design, Digital samhandling, Security and Cloud Computing</t>
  </si>
  <si>
    <t>Digital forretningsutvikling, Digital infrastruktur og cybersikkerhet, Informasjonsbehandling, Data, IT-drift og informasjonssikkerhet, Programmering, Webutvikling, Datateknologi, Informatikk, Ingeniørvitenskap og IKT, Interaksjonsdesign, Kommunikasjonsteknologi og digital sikkerhet</t>
  </si>
  <si>
    <t>Digital forretningsutvikling, Digital infrastruktur og cybersikkerhet, Informasjonsbehandling, Informatikk, Informatikk med spesialisering i drift av datasystemer, Data, Programmering, Webutvikling, Datateknologi, Ingeniørvitenskap og IKT, Interaksjonsdesign</t>
  </si>
  <si>
    <t>Applied Computer Science, Computational Colour and Spectral Imaging, Datateknologi, Digital Infrastructure and Cyber Security, Embedded Computing Systems,Helseinformatikk, Informatikk, Informatics, Information Security, Digital samhandling, Medier, kommunikasjon og informasjonsteknologi,Security and Cloud Computing, Simulering og visualisering</t>
  </si>
  <si>
    <t>Datateknologi, Informatikk</t>
  </si>
  <si>
    <t>Datateknologi og informatikk, Informasjonsteknologi, Teknisk kybernetikk, Informasjonssikkerhet og kommunikasjonsteknologi, Information Security, Telematikk</t>
  </si>
  <si>
    <t>Datateknologi og informatikk, Informasjonsteknologi, Informasjonssikkerhet og kommunikasjonsteknologi, Information Security</t>
  </si>
  <si>
    <t>Programmes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</si>
</sst>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0" fontId="2" fillId="0" borderId="0" xfId="0" applyFont="1"/>
    <xf numFmtId="164" fontId="0" fillId="2" borderId="1" xfId="1" applyNumberFormat="1" applyFont="1" applyFill="1" applyBorder="1"/>
    <xf numFmtId="2" fontId="0" fillId="0" borderId="0" xfId="0" applyNumberFormat="1"/>
    <xf numFmtId="43" fontId="0" fillId="0" borderId="0" xfId="0" applyNumberFormat="1"/>
    <xf numFmtId="3" fontId="0" fillId="2" borderId="1" xfId="0" applyNumberFormat="1" applyFill="1" applyBorder="1"/>
    <xf numFmtId="0" fontId="0" fillId="0" borderId="0" xfId="0" applyFill="1"/>
    <xf numFmtId="0" fontId="3"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E2F06-3291-4593-AF3F-2F59115A9EF8}">
  <dimension ref="A2:K82"/>
  <sheetViews>
    <sheetView tabSelected="1" workbookViewId="0">
      <selection activeCell="K17" sqref="K17"/>
    </sheetView>
  </sheetViews>
  <sheetFormatPr defaultRowHeight="14.4" x14ac:dyDescent="0.3"/>
  <cols>
    <col min="1" max="1" width="12.5546875" customWidth="1"/>
    <col min="2" max="2" width="27.77734375" customWidth="1"/>
    <col min="3" max="3" width="16.21875" customWidth="1"/>
    <col min="4" max="4" width="11.44140625" customWidth="1"/>
    <col min="6" max="6" width="23.5546875" customWidth="1"/>
    <col min="7" max="7" width="9.88671875" customWidth="1"/>
    <col min="8" max="8" width="7.6640625" customWidth="1"/>
    <col min="9" max="9" width="14.5546875" customWidth="1"/>
    <col min="11" max="11" width="20.77734375" customWidth="1"/>
    <col min="12" max="12" width="24.33203125" customWidth="1"/>
  </cols>
  <sheetData>
    <row r="2" spans="1:11" x14ac:dyDescent="0.3">
      <c r="A2" s="1" t="s">
        <v>8</v>
      </c>
      <c r="B2" s="1" t="s">
        <v>0</v>
      </c>
      <c r="C2" s="1" t="s">
        <v>1</v>
      </c>
      <c r="D2" s="1" t="s">
        <v>3</v>
      </c>
      <c r="E2" s="1" t="s">
        <v>9</v>
      </c>
      <c r="F2" s="1" t="s">
        <v>15</v>
      </c>
      <c r="G2" s="1" t="s">
        <v>2</v>
      </c>
    </row>
    <row r="3" spans="1:11" x14ac:dyDescent="0.3">
      <c r="G3" s="7" t="s">
        <v>4</v>
      </c>
      <c r="H3" s="7" t="s">
        <v>5</v>
      </c>
      <c r="I3" s="7" t="s">
        <v>6</v>
      </c>
      <c r="J3" s="7" t="s">
        <v>7</v>
      </c>
      <c r="K3" s="7" t="s">
        <v>60</v>
      </c>
    </row>
    <row r="4" spans="1:11" x14ac:dyDescent="0.3">
      <c r="A4" t="s">
        <v>12</v>
      </c>
      <c r="B4" t="s">
        <v>19</v>
      </c>
      <c r="C4" t="s">
        <v>11</v>
      </c>
      <c r="D4" s="2">
        <v>10276617</v>
      </c>
      <c r="E4" t="s">
        <v>10</v>
      </c>
      <c r="F4" t="s">
        <v>16</v>
      </c>
      <c r="G4">
        <v>305</v>
      </c>
      <c r="H4">
        <v>61</v>
      </c>
      <c r="I4" s="4">
        <f t="shared" ref="I4:I29" si="0">G4/($D4/1000000)</f>
        <v>29.679027641100181</v>
      </c>
      <c r="J4" s="3">
        <f t="shared" ref="J4:J29" si="1">H4/G4*100</f>
        <v>20</v>
      </c>
      <c r="K4" t="s">
        <v>24</v>
      </c>
    </row>
    <row r="5" spans="1:11" x14ac:dyDescent="0.3">
      <c r="A5" t="s">
        <v>12</v>
      </c>
      <c r="B5" t="s">
        <v>19</v>
      </c>
      <c r="C5" t="s">
        <v>11</v>
      </c>
      <c r="D5" s="2">
        <v>10276617</v>
      </c>
      <c r="E5" t="s">
        <v>10</v>
      </c>
      <c r="F5" t="s">
        <v>17</v>
      </c>
      <c r="G5">
        <v>1304</v>
      </c>
      <c r="H5">
        <v>209</v>
      </c>
      <c r="I5" s="4">
        <f t="shared" si="0"/>
        <v>126.89000670162176</v>
      </c>
      <c r="J5" s="3">
        <f t="shared" si="1"/>
        <v>16.027607361963188</v>
      </c>
      <c r="K5" t="s">
        <v>24</v>
      </c>
    </row>
    <row r="6" spans="1:11" x14ac:dyDescent="0.3">
      <c r="A6" t="s">
        <v>12</v>
      </c>
      <c r="B6" t="s">
        <v>19</v>
      </c>
      <c r="C6" t="s">
        <v>11</v>
      </c>
      <c r="D6" s="2">
        <v>10276617</v>
      </c>
      <c r="E6" t="s">
        <v>10</v>
      </c>
      <c r="F6" t="s">
        <v>18</v>
      </c>
      <c r="G6">
        <v>306</v>
      </c>
      <c r="H6">
        <v>49</v>
      </c>
      <c r="I6" s="4">
        <f t="shared" si="0"/>
        <v>29.776335928448049</v>
      </c>
      <c r="J6" s="3">
        <f t="shared" si="1"/>
        <v>16.013071895424837</v>
      </c>
      <c r="K6" t="s">
        <v>38</v>
      </c>
    </row>
    <row r="7" spans="1:11" x14ac:dyDescent="0.3">
      <c r="A7" t="s">
        <v>12</v>
      </c>
      <c r="B7" t="s">
        <v>19</v>
      </c>
      <c r="C7" t="s">
        <v>11</v>
      </c>
      <c r="D7" s="2">
        <v>10276617</v>
      </c>
      <c r="E7" t="s">
        <v>13</v>
      </c>
      <c r="F7" t="s">
        <v>17</v>
      </c>
      <c r="G7">
        <v>106</v>
      </c>
      <c r="H7">
        <v>20</v>
      </c>
      <c r="I7" s="4">
        <f t="shared" si="0"/>
        <v>10.314678458874161</v>
      </c>
      <c r="J7" s="3">
        <f t="shared" si="1"/>
        <v>18.867924528301888</v>
      </c>
      <c r="K7" t="s">
        <v>30</v>
      </c>
    </row>
    <row r="8" spans="1:11" x14ac:dyDescent="0.3">
      <c r="A8" t="s">
        <v>12</v>
      </c>
      <c r="B8" t="s">
        <v>19</v>
      </c>
      <c r="C8" t="s">
        <v>11</v>
      </c>
      <c r="D8" s="2">
        <v>10276617</v>
      </c>
      <c r="E8" t="s">
        <v>13</v>
      </c>
      <c r="F8" t="s">
        <v>18</v>
      </c>
      <c r="G8">
        <v>19</v>
      </c>
      <c r="H8">
        <v>3</v>
      </c>
      <c r="I8" s="4">
        <f t="shared" si="0"/>
        <v>1.8488574596095193</v>
      </c>
      <c r="J8" s="3">
        <f t="shared" si="1"/>
        <v>15.789473684210526</v>
      </c>
      <c r="K8" t="s">
        <v>30</v>
      </c>
    </row>
    <row r="9" spans="1:11" x14ac:dyDescent="0.3">
      <c r="A9" t="s">
        <v>12</v>
      </c>
      <c r="B9" t="s">
        <v>19</v>
      </c>
      <c r="C9" t="s">
        <v>11</v>
      </c>
      <c r="D9" s="2">
        <v>10276617</v>
      </c>
      <c r="E9" t="s">
        <v>14</v>
      </c>
      <c r="F9" t="s">
        <v>17</v>
      </c>
      <c r="G9">
        <v>46</v>
      </c>
      <c r="H9">
        <v>7</v>
      </c>
      <c r="I9" s="4">
        <f t="shared" si="0"/>
        <v>4.4761812180019946</v>
      </c>
      <c r="J9" s="3">
        <f t="shared" si="1"/>
        <v>15.217391304347828</v>
      </c>
      <c r="K9" t="s">
        <v>31</v>
      </c>
    </row>
    <row r="10" spans="1:11" x14ac:dyDescent="0.3">
      <c r="A10" t="s">
        <v>12</v>
      </c>
      <c r="B10" t="s">
        <v>19</v>
      </c>
      <c r="C10" t="s">
        <v>11</v>
      </c>
      <c r="D10" s="2">
        <v>10276617</v>
      </c>
      <c r="E10" t="s">
        <v>14</v>
      </c>
      <c r="F10" t="s">
        <v>18</v>
      </c>
      <c r="G10">
        <v>1</v>
      </c>
      <c r="H10">
        <v>0</v>
      </c>
      <c r="I10" s="4">
        <f t="shared" si="0"/>
        <v>9.7308287347869435E-2</v>
      </c>
      <c r="J10" s="3">
        <f t="shared" si="1"/>
        <v>0</v>
      </c>
      <c r="K10" t="s">
        <v>31</v>
      </c>
    </row>
    <row r="11" spans="1:11" x14ac:dyDescent="0.3">
      <c r="A11" t="s">
        <v>12</v>
      </c>
      <c r="B11" t="s">
        <v>20</v>
      </c>
      <c r="C11" t="s">
        <v>11</v>
      </c>
      <c r="D11" s="2">
        <v>10276617</v>
      </c>
      <c r="E11" t="s">
        <v>10</v>
      </c>
      <c r="F11" t="s">
        <v>16</v>
      </c>
      <c r="G11">
        <v>524</v>
      </c>
      <c r="H11">
        <v>129</v>
      </c>
      <c r="I11" s="4">
        <f t="shared" si="0"/>
        <v>50.989542570283589</v>
      </c>
      <c r="J11" s="3">
        <f t="shared" si="1"/>
        <v>24.618320610687022</v>
      </c>
      <c r="K11" t="s">
        <v>26</v>
      </c>
    </row>
    <row r="12" spans="1:11" x14ac:dyDescent="0.3">
      <c r="A12" t="s">
        <v>12</v>
      </c>
      <c r="B12" t="s">
        <v>20</v>
      </c>
      <c r="C12" t="s">
        <v>11</v>
      </c>
      <c r="D12" s="2">
        <v>10276617</v>
      </c>
      <c r="E12" t="s">
        <v>10</v>
      </c>
      <c r="F12" t="s">
        <v>17</v>
      </c>
      <c r="G12">
        <v>1732</v>
      </c>
      <c r="H12">
        <v>364</v>
      </c>
      <c r="I12" s="4">
        <f t="shared" si="0"/>
        <v>168.53795368650987</v>
      </c>
      <c r="J12" s="3">
        <f t="shared" si="1"/>
        <v>21.016166281755197</v>
      </c>
      <c r="K12" t="s">
        <v>26</v>
      </c>
    </row>
    <row r="13" spans="1:11" x14ac:dyDescent="0.3">
      <c r="A13" t="s">
        <v>12</v>
      </c>
      <c r="B13" t="s">
        <v>20</v>
      </c>
      <c r="C13" t="s">
        <v>11</v>
      </c>
      <c r="D13" s="2">
        <v>10276617</v>
      </c>
      <c r="E13" t="s">
        <v>10</v>
      </c>
      <c r="F13" t="s">
        <v>18</v>
      </c>
      <c r="G13">
        <v>367</v>
      </c>
      <c r="H13">
        <v>65</v>
      </c>
      <c r="I13" s="4">
        <f t="shared" si="0"/>
        <v>35.712141456668085</v>
      </c>
      <c r="J13" s="3">
        <f t="shared" si="1"/>
        <v>17.711171662125341</v>
      </c>
      <c r="K13" t="s">
        <v>26</v>
      </c>
    </row>
    <row r="14" spans="1:11" x14ac:dyDescent="0.3">
      <c r="A14" t="s">
        <v>12</v>
      </c>
      <c r="B14" t="s">
        <v>20</v>
      </c>
      <c r="C14" t="s">
        <v>11</v>
      </c>
      <c r="D14" s="2">
        <v>10276617</v>
      </c>
      <c r="E14" t="s">
        <v>13</v>
      </c>
      <c r="F14" t="s">
        <v>17</v>
      </c>
      <c r="G14">
        <v>702</v>
      </c>
      <c r="H14">
        <v>169</v>
      </c>
      <c r="I14" s="4">
        <f t="shared" si="0"/>
        <v>68.310417718204349</v>
      </c>
      <c r="J14" s="3">
        <f t="shared" si="1"/>
        <v>24.074074074074073</v>
      </c>
      <c r="K14" t="s">
        <v>29</v>
      </c>
    </row>
    <row r="15" spans="1:11" x14ac:dyDescent="0.3">
      <c r="A15" t="s">
        <v>12</v>
      </c>
      <c r="B15" t="s">
        <v>20</v>
      </c>
      <c r="C15" t="s">
        <v>11</v>
      </c>
      <c r="D15" s="2">
        <v>10276617</v>
      </c>
      <c r="E15" t="s">
        <v>13</v>
      </c>
      <c r="F15" t="s">
        <v>18</v>
      </c>
      <c r="G15">
        <v>211</v>
      </c>
      <c r="H15">
        <v>46</v>
      </c>
      <c r="I15" s="4">
        <f t="shared" si="0"/>
        <v>20.532048630400453</v>
      </c>
      <c r="J15" s="3">
        <f t="shared" si="1"/>
        <v>21.800947867298579</v>
      </c>
      <c r="K15" t="s">
        <v>37</v>
      </c>
    </row>
    <row r="16" spans="1:11" x14ac:dyDescent="0.3">
      <c r="A16" t="s">
        <v>12</v>
      </c>
      <c r="B16" t="s">
        <v>20</v>
      </c>
      <c r="C16" t="s">
        <v>11</v>
      </c>
      <c r="D16" s="2">
        <v>10276617</v>
      </c>
      <c r="E16" t="s">
        <v>14</v>
      </c>
      <c r="F16" t="s">
        <v>17</v>
      </c>
      <c r="G16">
        <v>190</v>
      </c>
      <c r="H16">
        <v>39</v>
      </c>
      <c r="I16" s="4">
        <f t="shared" si="0"/>
        <v>18.488574596095194</v>
      </c>
      <c r="J16" s="3">
        <f t="shared" si="1"/>
        <v>20.526315789473685</v>
      </c>
      <c r="K16" t="s">
        <v>33</v>
      </c>
    </row>
    <row r="17" spans="1:11" x14ac:dyDescent="0.3">
      <c r="A17" t="s">
        <v>12</v>
      </c>
      <c r="B17" t="s">
        <v>20</v>
      </c>
      <c r="C17" t="s">
        <v>11</v>
      </c>
      <c r="D17" s="2">
        <v>10276617</v>
      </c>
      <c r="E17" t="s">
        <v>14</v>
      </c>
      <c r="F17" t="s">
        <v>18</v>
      </c>
      <c r="G17">
        <v>17</v>
      </c>
      <c r="H17">
        <v>2</v>
      </c>
      <c r="I17" s="4">
        <f t="shared" si="0"/>
        <v>1.6542408849137804</v>
      </c>
      <c r="J17" s="3">
        <f t="shared" si="1"/>
        <v>11.76470588235294</v>
      </c>
      <c r="K17" t="s">
        <v>33</v>
      </c>
    </row>
    <row r="18" spans="1:11" x14ac:dyDescent="0.3">
      <c r="A18" t="s">
        <v>12</v>
      </c>
      <c r="B18" t="s">
        <v>21</v>
      </c>
      <c r="C18" t="s">
        <v>11</v>
      </c>
      <c r="D18" s="2">
        <v>10276617</v>
      </c>
      <c r="E18" t="s">
        <v>10</v>
      </c>
      <c r="F18" t="s">
        <v>16</v>
      </c>
      <c r="G18">
        <v>517</v>
      </c>
      <c r="H18">
        <v>85</v>
      </c>
      <c r="I18" s="4">
        <f t="shared" si="0"/>
        <v>50.308384558848502</v>
      </c>
      <c r="J18" s="3">
        <f t="shared" si="1"/>
        <v>16.441005802707931</v>
      </c>
      <c r="K18" t="s">
        <v>27</v>
      </c>
    </row>
    <row r="19" spans="1:11" x14ac:dyDescent="0.3">
      <c r="A19" t="s">
        <v>12</v>
      </c>
      <c r="B19" t="s">
        <v>21</v>
      </c>
      <c r="C19" t="s">
        <v>11</v>
      </c>
      <c r="D19" s="2">
        <v>10276617</v>
      </c>
      <c r="E19" t="s">
        <v>10</v>
      </c>
      <c r="F19" t="s">
        <v>17</v>
      </c>
      <c r="G19">
        <v>1917</v>
      </c>
      <c r="H19">
        <v>295</v>
      </c>
      <c r="I19" s="4">
        <f t="shared" si="0"/>
        <v>186.53998684586571</v>
      </c>
      <c r="J19" s="3">
        <f t="shared" si="1"/>
        <v>15.388628064684404</v>
      </c>
      <c r="K19" t="s">
        <v>27</v>
      </c>
    </row>
    <row r="20" spans="1:11" x14ac:dyDescent="0.3">
      <c r="A20" t="s">
        <v>12</v>
      </c>
      <c r="B20" t="s">
        <v>21</v>
      </c>
      <c r="C20" t="s">
        <v>11</v>
      </c>
      <c r="D20" s="2">
        <v>10276617</v>
      </c>
      <c r="E20" t="s">
        <v>10</v>
      </c>
      <c r="F20" t="s">
        <v>18</v>
      </c>
      <c r="G20">
        <v>442</v>
      </c>
      <c r="H20">
        <v>68</v>
      </c>
      <c r="I20" s="4">
        <f t="shared" si="0"/>
        <v>43.01026300775829</v>
      </c>
      <c r="J20" s="3">
        <f t="shared" si="1"/>
        <v>15.384615384615385</v>
      </c>
      <c r="K20" t="s">
        <v>27</v>
      </c>
    </row>
    <row r="21" spans="1:11" x14ac:dyDescent="0.3">
      <c r="A21" t="s">
        <v>12</v>
      </c>
      <c r="B21" t="s">
        <v>21</v>
      </c>
      <c r="C21" t="s">
        <v>11</v>
      </c>
      <c r="D21" s="2">
        <v>10276617</v>
      </c>
      <c r="E21" t="s">
        <v>13</v>
      </c>
      <c r="F21" t="s">
        <v>17</v>
      </c>
      <c r="G21">
        <v>990</v>
      </c>
      <c r="H21">
        <v>192</v>
      </c>
      <c r="I21" s="4">
        <f t="shared" si="0"/>
        <v>96.33520447439075</v>
      </c>
      <c r="J21" s="3">
        <f t="shared" si="1"/>
        <v>19.393939393939394</v>
      </c>
      <c r="K21" t="s">
        <v>28</v>
      </c>
    </row>
    <row r="22" spans="1:11" x14ac:dyDescent="0.3">
      <c r="A22" t="s">
        <v>12</v>
      </c>
      <c r="B22" t="s">
        <v>21</v>
      </c>
      <c r="C22" t="s">
        <v>11</v>
      </c>
      <c r="D22" s="2">
        <v>10276617</v>
      </c>
      <c r="E22" t="s">
        <v>13</v>
      </c>
      <c r="F22" t="s">
        <v>18</v>
      </c>
      <c r="G22">
        <v>344</v>
      </c>
      <c r="H22">
        <v>59</v>
      </c>
      <c r="I22" s="4">
        <f t="shared" si="0"/>
        <v>33.474050847667087</v>
      </c>
      <c r="J22" s="3">
        <f t="shared" si="1"/>
        <v>17.151162790697676</v>
      </c>
      <c r="K22" t="s">
        <v>35</v>
      </c>
    </row>
    <row r="23" spans="1:11" x14ac:dyDescent="0.3">
      <c r="A23" t="s">
        <v>12</v>
      </c>
      <c r="B23" t="s">
        <v>21</v>
      </c>
      <c r="C23" t="s">
        <v>11</v>
      </c>
      <c r="D23" s="2">
        <v>10276617</v>
      </c>
      <c r="E23" t="s">
        <v>14</v>
      </c>
      <c r="F23" t="s">
        <v>17</v>
      </c>
      <c r="G23">
        <v>224</v>
      </c>
      <c r="H23">
        <v>59</v>
      </c>
      <c r="I23" s="4">
        <f t="shared" si="0"/>
        <v>21.797056365922757</v>
      </c>
      <c r="J23" s="3">
        <f t="shared" si="1"/>
        <v>26.339285714285715</v>
      </c>
      <c r="K23" t="s">
        <v>32</v>
      </c>
    </row>
    <row r="24" spans="1:11" x14ac:dyDescent="0.3">
      <c r="A24" t="s">
        <v>12</v>
      </c>
      <c r="B24" t="s">
        <v>21</v>
      </c>
      <c r="C24" t="s">
        <v>11</v>
      </c>
      <c r="D24" s="2">
        <v>10276617</v>
      </c>
      <c r="E24" t="s">
        <v>14</v>
      </c>
      <c r="F24" t="s">
        <v>18</v>
      </c>
      <c r="G24">
        <v>21</v>
      </c>
      <c r="H24">
        <v>6</v>
      </c>
      <c r="I24" s="4">
        <f t="shared" si="0"/>
        <v>2.0434740343052584</v>
      </c>
      <c r="J24" s="3">
        <f t="shared" si="1"/>
        <v>28.571428571428569</v>
      </c>
      <c r="K24" t="s">
        <v>36</v>
      </c>
    </row>
    <row r="25" spans="1:11" x14ac:dyDescent="0.3">
      <c r="A25" t="s">
        <v>12</v>
      </c>
      <c r="B25" t="s">
        <v>22</v>
      </c>
      <c r="C25" t="s">
        <v>23</v>
      </c>
      <c r="D25" s="2">
        <v>10276617</v>
      </c>
      <c r="E25" t="s">
        <v>10</v>
      </c>
      <c r="F25" t="s">
        <v>16</v>
      </c>
      <c r="G25">
        <v>296</v>
      </c>
      <c r="H25">
        <v>29</v>
      </c>
      <c r="I25" s="4">
        <f t="shared" si="0"/>
        <v>28.803253054969353</v>
      </c>
      <c r="J25" s="3">
        <f t="shared" si="1"/>
        <v>9.7972972972972965</v>
      </c>
      <c r="K25" t="s">
        <v>25</v>
      </c>
    </row>
    <row r="26" spans="1:11" x14ac:dyDescent="0.3">
      <c r="A26" t="s">
        <v>12</v>
      </c>
      <c r="B26" t="s">
        <v>22</v>
      </c>
      <c r="C26" t="s">
        <v>23</v>
      </c>
      <c r="D26" s="2">
        <v>10276617</v>
      </c>
      <c r="E26" t="s">
        <v>10</v>
      </c>
      <c r="F26" t="s">
        <v>17</v>
      </c>
      <c r="G26">
        <v>905</v>
      </c>
      <c r="H26">
        <v>72</v>
      </c>
      <c r="I26" s="4">
        <f t="shared" si="0"/>
        <v>88.064000049821843</v>
      </c>
      <c r="J26" s="3">
        <f t="shared" si="1"/>
        <v>7.9558011049723749</v>
      </c>
      <c r="K26" t="s">
        <v>25</v>
      </c>
    </row>
    <row r="27" spans="1:11" x14ac:dyDescent="0.3">
      <c r="A27" t="s">
        <v>12</v>
      </c>
      <c r="B27" t="s">
        <v>22</v>
      </c>
      <c r="C27" t="s">
        <v>23</v>
      </c>
      <c r="D27" s="2">
        <v>10276617</v>
      </c>
      <c r="E27" t="s">
        <v>10</v>
      </c>
      <c r="F27" t="s">
        <v>18</v>
      </c>
      <c r="G27">
        <v>150</v>
      </c>
      <c r="H27">
        <v>8</v>
      </c>
      <c r="I27" s="4">
        <f t="shared" si="0"/>
        <v>14.596243102180416</v>
      </c>
      <c r="J27" s="3">
        <f t="shared" si="1"/>
        <v>5.3333333333333339</v>
      </c>
      <c r="K27" t="s">
        <v>25</v>
      </c>
    </row>
    <row r="28" spans="1:11" x14ac:dyDescent="0.3">
      <c r="A28" t="s">
        <v>12</v>
      </c>
      <c r="B28" t="s">
        <v>22</v>
      </c>
      <c r="C28" t="s">
        <v>23</v>
      </c>
      <c r="D28" s="2">
        <v>10276617</v>
      </c>
      <c r="E28" t="s">
        <v>13</v>
      </c>
      <c r="F28" t="s">
        <v>17</v>
      </c>
      <c r="G28">
        <v>153</v>
      </c>
      <c r="H28">
        <v>35</v>
      </c>
      <c r="I28" s="4">
        <f t="shared" si="0"/>
        <v>14.888167964224024</v>
      </c>
      <c r="J28" s="3">
        <f t="shared" si="1"/>
        <v>22.875816993464053</v>
      </c>
      <c r="K28" t="s">
        <v>34</v>
      </c>
    </row>
    <row r="29" spans="1:11" x14ac:dyDescent="0.3">
      <c r="A29" t="s">
        <v>12</v>
      </c>
      <c r="B29" t="s">
        <v>22</v>
      </c>
      <c r="C29" t="s">
        <v>23</v>
      </c>
      <c r="D29" s="2">
        <v>10276617</v>
      </c>
      <c r="E29" t="s">
        <v>13</v>
      </c>
      <c r="F29" t="s">
        <v>18</v>
      </c>
      <c r="G29">
        <v>31</v>
      </c>
      <c r="H29">
        <v>4</v>
      </c>
      <c r="I29" s="4">
        <f t="shared" si="0"/>
        <v>3.0165569077839525</v>
      </c>
      <c r="J29" s="3">
        <f t="shared" si="1"/>
        <v>12.903225806451612</v>
      </c>
      <c r="K29" t="s">
        <v>34</v>
      </c>
    </row>
    <row r="30" spans="1:11" x14ac:dyDescent="0.3">
      <c r="A30" t="s">
        <v>12</v>
      </c>
      <c r="B30" t="s">
        <v>22</v>
      </c>
      <c r="C30" t="s">
        <v>23</v>
      </c>
      <c r="D30" s="2">
        <v>10276617</v>
      </c>
      <c r="E30" t="s">
        <v>14</v>
      </c>
      <c r="F30" t="s">
        <v>17</v>
      </c>
      <c r="G30">
        <v>0</v>
      </c>
      <c r="H30">
        <v>0</v>
      </c>
      <c r="I30">
        <v>0</v>
      </c>
      <c r="J30">
        <v>0</v>
      </c>
    </row>
    <row r="31" spans="1:11" x14ac:dyDescent="0.3">
      <c r="A31" t="s">
        <v>12</v>
      </c>
      <c r="B31" t="s">
        <v>22</v>
      </c>
      <c r="C31" t="s">
        <v>23</v>
      </c>
      <c r="D31" s="2">
        <v>10276617</v>
      </c>
      <c r="E31" t="s">
        <v>14</v>
      </c>
      <c r="F31" t="s">
        <v>18</v>
      </c>
      <c r="G31">
        <v>0</v>
      </c>
      <c r="H31">
        <v>0</v>
      </c>
      <c r="I31">
        <v>0</v>
      </c>
      <c r="J31">
        <v>0</v>
      </c>
    </row>
    <row r="32" spans="1:11" x14ac:dyDescent="0.3">
      <c r="A32" t="s">
        <v>39</v>
      </c>
      <c r="B32" t="s">
        <v>40</v>
      </c>
      <c r="C32" t="s">
        <v>11</v>
      </c>
      <c r="D32" s="5">
        <v>5328212</v>
      </c>
      <c r="E32" t="s">
        <v>10</v>
      </c>
      <c r="F32" t="s">
        <v>16</v>
      </c>
      <c r="G32">
        <v>725</v>
      </c>
      <c r="H32">
        <v>220</v>
      </c>
      <c r="I32" s="4">
        <f t="shared" ref="I32" si="2">G32/($D32/1000000)</f>
        <v>136.06815945011198</v>
      </c>
      <c r="J32" s="3">
        <f t="shared" ref="J32" si="3">H32/G32*100</f>
        <v>30.344827586206897</v>
      </c>
      <c r="K32" s="6" t="s">
        <v>55</v>
      </c>
    </row>
    <row r="33" spans="1:11" x14ac:dyDescent="0.3">
      <c r="A33" t="s">
        <v>39</v>
      </c>
      <c r="B33" t="s">
        <v>40</v>
      </c>
      <c r="C33" t="s">
        <v>11</v>
      </c>
      <c r="D33" s="5">
        <v>5328212</v>
      </c>
      <c r="E33" t="s">
        <v>10</v>
      </c>
      <c r="F33" t="s">
        <v>17</v>
      </c>
      <c r="G33">
        <v>3490</v>
      </c>
      <c r="H33">
        <v>1040</v>
      </c>
      <c r="I33" s="4">
        <f>G33/($D34/1000000)</f>
        <v>655.00396755984934</v>
      </c>
      <c r="J33" s="3">
        <f t="shared" ref="J33:J34" si="4">H33/G33*100</f>
        <v>29.799426934097422</v>
      </c>
      <c r="K33" s="6" t="s">
        <v>44</v>
      </c>
    </row>
    <row r="34" spans="1:11" x14ac:dyDescent="0.3">
      <c r="A34" t="s">
        <v>39</v>
      </c>
      <c r="B34" t="s">
        <v>40</v>
      </c>
      <c r="C34" t="s">
        <v>11</v>
      </c>
      <c r="D34" s="5">
        <v>5328212</v>
      </c>
      <c r="E34" t="s">
        <v>10</v>
      </c>
      <c r="F34" t="s">
        <v>18</v>
      </c>
      <c r="G34">
        <v>715</v>
      </c>
      <c r="H34">
        <v>190</v>
      </c>
      <c r="I34" s="4">
        <f t="shared" ref="I34" si="5">G34/($D34/1000000)</f>
        <v>134.19135725080008</v>
      </c>
      <c r="J34" s="3">
        <f t="shared" si="4"/>
        <v>26.573426573426573</v>
      </c>
      <c r="K34" s="6" t="s">
        <v>54</v>
      </c>
    </row>
    <row r="35" spans="1:11" x14ac:dyDescent="0.3">
      <c r="A35" t="s">
        <v>39</v>
      </c>
      <c r="B35" t="s">
        <v>40</v>
      </c>
      <c r="C35" t="s">
        <v>11</v>
      </c>
      <c r="D35" s="5">
        <v>5328212</v>
      </c>
      <c r="E35" t="s">
        <v>13</v>
      </c>
      <c r="F35" t="s">
        <v>17</v>
      </c>
      <c r="G35">
        <v>1105</v>
      </c>
      <c r="H35">
        <v>335</v>
      </c>
      <c r="I35" s="4">
        <f t="shared" ref="I35" si="6">G35/($D35/1000000)</f>
        <v>207.38664302396379</v>
      </c>
      <c r="J35" s="3">
        <f t="shared" ref="J35" si="7">H35/G35*100</f>
        <v>30.316742081447963</v>
      </c>
      <c r="K35" s="6" t="s">
        <v>56</v>
      </c>
    </row>
    <row r="36" spans="1:11" x14ac:dyDescent="0.3">
      <c r="A36" t="s">
        <v>39</v>
      </c>
      <c r="B36" t="s">
        <v>40</v>
      </c>
      <c r="C36" t="s">
        <v>11</v>
      </c>
      <c r="D36" s="5">
        <v>5328212</v>
      </c>
      <c r="E36" t="s">
        <v>13</v>
      </c>
      <c r="F36" t="s">
        <v>18</v>
      </c>
      <c r="G36">
        <v>340</v>
      </c>
      <c r="H36">
        <v>75</v>
      </c>
      <c r="I36" s="4">
        <f t="shared" ref="I36:I38" si="8">G36/($D36/1000000)</f>
        <v>63.811274776604236</v>
      </c>
      <c r="J36" s="3">
        <f t="shared" ref="J36:J38" si="9">H36/G36*100</f>
        <v>22.058823529411764</v>
      </c>
      <c r="K36" s="6" t="s">
        <v>53</v>
      </c>
    </row>
    <row r="37" spans="1:11" x14ac:dyDescent="0.3">
      <c r="A37" t="s">
        <v>39</v>
      </c>
      <c r="B37" t="s">
        <v>40</v>
      </c>
      <c r="C37" t="s">
        <v>11</v>
      </c>
      <c r="D37" s="5">
        <v>5328212</v>
      </c>
      <c r="E37" t="s">
        <v>14</v>
      </c>
      <c r="F37" t="s">
        <v>17</v>
      </c>
      <c r="G37">
        <v>275</v>
      </c>
      <c r="H37">
        <v>95</v>
      </c>
      <c r="I37" s="4">
        <f t="shared" si="8"/>
        <v>51.612060481076959</v>
      </c>
      <c r="J37" s="3">
        <f t="shared" si="9"/>
        <v>34.545454545454547</v>
      </c>
      <c r="K37" s="6" t="s">
        <v>58</v>
      </c>
    </row>
    <row r="38" spans="1:11" x14ac:dyDescent="0.3">
      <c r="A38" t="s">
        <v>39</v>
      </c>
      <c r="B38" t="s">
        <v>40</v>
      </c>
      <c r="C38" t="s">
        <v>11</v>
      </c>
      <c r="D38" s="5">
        <v>5328212</v>
      </c>
      <c r="E38" t="s">
        <v>14</v>
      </c>
      <c r="F38" t="s">
        <v>18</v>
      </c>
      <c r="G38">
        <v>41</v>
      </c>
      <c r="H38">
        <v>15</v>
      </c>
      <c r="I38" s="4">
        <f t="shared" si="8"/>
        <v>7.6948890171787463</v>
      </c>
      <c r="J38" s="3">
        <f t="shared" si="9"/>
        <v>36.585365853658537</v>
      </c>
      <c r="K38" s="6" t="s">
        <v>59</v>
      </c>
    </row>
    <row r="39" spans="1:11" x14ac:dyDescent="0.3">
      <c r="A39" t="s">
        <v>39</v>
      </c>
      <c r="B39" t="s">
        <v>41</v>
      </c>
      <c r="C39" t="s">
        <v>11</v>
      </c>
      <c r="D39" s="5">
        <v>5328212</v>
      </c>
      <c r="E39" t="s">
        <v>10</v>
      </c>
      <c r="F39" t="s">
        <v>16</v>
      </c>
      <c r="G39">
        <v>105</v>
      </c>
      <c r="H39">
        <v>25</v>
      </c>
      <c r="I39" s="4">
        <f t="shared" ref="I39" si="10">G39/($D39/1000000)</f>
        <v>19.706423092774838</v>
      </c>
      <c r="J39" s="3">
        <f t="shared" ref="J39" si="11">H39/G39*100</f>
        <v>23.809523809523807</v>
      </c>
      <c r="K39" s="6" t="s">
        <v>48</v>
      </c>
    </row>
    <row r="40" spans="1:11" x14ac:dyDescent="0.3">
      <c r="A40" t="s">
        <v>39</v>
      </c>
      <c r="B40" t="s">
        <v>41</v>
      </c>
      <c r="C40" t="s">
        <v>11</v>
      </c>
      <c r="D40" s="5">
        <v>5328212</v>
      </c>
      <c r="E40" t="s">
        <v>10</v>
      </c>
      <c r="F40" t="s">
        <v>17</v>
      </c>
      <c r="G40">
        <v>600</v>
      </c>
      <c r="H40">
        <v>115</v>
      </c>
      <c r="I40" s="4">
        <f t="shared" ref="I40:I41" si="12">G40/($D40/1000000)</f>
        <v>112.60813195871336</v>
      </c>
      <c r="J40" s="3">
        <f t="shared" ref="J40:J41" si="13">H40/G40*100</f>
        <v>19.166666666666668</v>
      </c>
      <c r="K40" s="6" t="s">
        <v>47</v>
      </c>
    </row>
    <row r="41" spans="1:11" x14ac:dyDescent="0.3">
      <c r="A41" t="s">
        <v>39</v>
      </c>
      <c r="B41" t="s">
        <v>41</v>
      </c>
      <c r="C41" t="s">
        <v>11</v>
      </c>
      <c r="D41" s="5">
        <v>5328212</v>
      </c>
      <c r="E41" t="s">
        <v>10</v>
      </c>
      <c r="F41" t="s">
        <v>18</v>
      </c>
      <c r="G41">
        <v>90</v>
      </c>
      <c r="H41">
        <v>15</v>
      </c>
      <c r="I41" s="4">
        <f t="shared" si="12"/>
        <v>16.891219793807004</v>
      </c>
      <c r="J41" s="3">
        <f t="shared" si="13"/>
        <v>16.666666666666664</v>
      </c>
      <c r="K41" s="6" t="s">
        <v>46</v>
      </c>
    </row>
    <row r="42" spans="1:11" x14ac:dyDescent="0.3">
      <c r="A42" t="s">
        <v>39</v>
      </c>
      <c r="B42" t="s">
        <v>41</v>
      </c>
      <c r="C42" t="s">
        <v>11</v>
      </c>
      <c r="D42" s="5">
        <v>5328212</v>
      </c>
      <c r="E42" t="s">
        <v>13</v>
      </c>
      <c r="F42" t="s">
        <v>17</v>
      </c>
      <c r="G42">
        <v>70</v>
      </c>
      <c r="H42">
        <v>15</v>
      </c>
      <c r="I42" s="4">
        <f t="shared" ref="I42:I45" si="14">G42/($D42/1000000)</f>
        <v>13.137615395183225</v>
      </c>
      <c r="J42" s="3">
        <f t="shared" ref="J42:J45" si="15">H42/G42*100</f>
        <v>21.428571428571427</v>
      </c>
      <c r="K42" s="6" t="s">
        <v>45</v>
      </c>
    </row>
    <row r="43" spans="1:11" x14ac:dyDescent="0.3">
      <c r="A43" t="s">
        <v>39</v>
      </c>
      <c r="B43" t="s">
        <v>41</v>
      </c>
      <c r="C43" t="s">
        <v>11</v>
      </c>
      <c r="D43" s="5">
        <v>5328212</v>
      </c>
      <c r="E43" t="s">
        <v>13</v>
      </c>
      <c r="F43" t="s">
        <v>18</v>
      </c>
      <c r="G43">
        <v>10</v>
      </c>
      <c r="H43">
        <v>0</v>
      </c>
      <c r="I43" s="4">
        <f t="shared" si="14"/>
        <v>1.8768021993118893</v>
      </c>
      <c r="J43" s="3">
        <f t="shared" si="15"/>
        <v>0</v>
      </c>
      <c r="K43" s="6" t="s">
        <v>52</v>
      </c>
    </row>
    <row r="44" spans="1:11" x14ac:dyDescent="0.3">
      <c r="A44" t="s">
        <v>39</v>
      </c>
      <c r="B44" t="s">
        <v>41</v>
      </c>
      <c r="C44" t="s">
        <v>11</v>
      </c>
      <c r="D44" s="5">
        <v>5328212</v>
      </c>
      <c r="E44" t="s">
        <v>14</v>
      </c>
      <c r="F44" t="s">
        <v>17</v>
      </c>
      <c r="G44">
        <v>40</v>
      </c>
      <c r="H44">
        <v>10</v>
      </c>
      <c r="I44" s="4">
        <f t="shared" si="14"/>
        <v>7.5072087972475572</v>
      </c>
      <c r="J44" s="3">
        <f t="shared" si="15"/>
        <v>25</v>
      </c>
      <c r="K44" t="s">
        <v>57</v>
      </c>
    </row>
    <row r="45" spans="1:11" x14ac:dyDescent="0.3">
      <c r="A45" t="s">
        <v>39</v>
      </c>
      <c r="B45" t="s">
        <v>41</v>
      </c>
      <c r="C45" t="s">
        <v>11</v>
      </c>
      <c r="D45" s="5">
        <v>5328212</v>
      </c>
      <c r="E45" t="s">
        <v>14</v>
      </c>
      <c r="F45" t="s">
        <v>18</v>
      </c>
      <c r="G45">
        <v>2</v>
      </c>
      <c r="H45">
        <v>0</v>
      </c>
      <c r="I45" s="4">
        <f t="shared" si="14"/>
        <v>0.37536043986237788</v>
      </c>
      <c r="J45" s="3">
        <f t="shared" si="15"/>
        <v>0</v>
      </c>
      <c r="K45" t="s">
        <v>43</v>
      </c>
    </row>
    <row r="46" spans="1:11" x14ac:dyDescent="0.3">
      <c r="A46" t="s">
        <v>39</v>
      </c>
      <c r="B46" t="s">
        <v>42</v>
      </c>
      <c r="C46" t="s">
        <v>11</v>
      </c>
      <c r="D46" s="5">
        <v>5328212</v>
      </c>
      <c r="E46" t="s">
        <v>10</v>
      </c>
      <c r="F46" t="s">
        <v>16</v>
      </c>
      <c r="G46">
        <v>420</v>
      </c>
      <c r="H46">
        <v>165</v>
      </c>
      <c r="I46" s="4">
        <f t="shared" ref="I46" si="16">G46/($D46/1000000)</f>
        <v>78.82569237109935</v>
      </c>
      <c r="J46" s="3">
        <f t="shared" ref="J46" si="17">H46/G46*100</f>
        <v>39.285714285714285</v>
      </c>
      <c r="K46" s="6" t="s">
        <v>50</v>
      </c>
    </row>
    <row r="47" spans="1:11" x14ac:dyDescent="0.3">
      <c r="A47" t="s">
        <v>39</v>
      </c>
      <c r="B47" t="s">
        <v>42</v>
      </c>
      <c r="C47" t="s">
        <v>11</v>
      </c>
      <c r="D47" s="5">
        <v>5328212</v>
      </c>
      <c r="E47" t="s">
        <v>10</v>
      </c>
      <c r="F47" t="s">
        <v>17</v>
      </c>
      <c r="G47">
        <v>1680</v>
      </c>
      <c r="H47">
        <v>600</v>
      </c>
      <c r="I47" s="4">
        <f t="shared" ref="I47" si="18">G47/($D47/1000000)</f>
        <v>315.3027694843974</v>
      </c>
      <c r="J47" s="3">
        <f t="shared" ref="J47" si="19">H47/G47*100</f>
        <v>35.714285714285715</v>
      </c>
      <c r="K47" s="6" t="s">
        <v>50</v>
      </c>
    </row>
    <row r="48" spans="1:11" x14ac:dyDescent="0.3">
      <c r="A48" t="s">
        <v>39</v>
      </c>
      <c r="B48" t="s">
        <v>42</v>
      </c>
      <c r="C48" t="s">
        <v>11</v>
      </c>
      <c r="D48" s="5">
        <v>5328212</v>
      </c>
      <c r="E48" t="s">
        <v>10</v>
      </c>
      <c r="F48" t="s">
        <v>18</v>
      </c>
      <c r="G48">
        <v>290</v>
      </c>
      <c r="H48">
        <v>110</v>
      </c>
      <c r="I48" s="4">
        <f t="shared" ref="I48" si="20">G48/($D48/1000000)</f>
        <v>54.42726378004479</v>
      </c>
      <c r="J48" s="3">
        <f t="shared" ref="J48" si="21">H48/G48*100</f>
        <v>37.931034482758619</v>
      </c>
      <c r="K48" s="6" t="s">
        <v>50</v>
      </c>
    </row>
    <row r="49" spans="1:11" x14ac:dyDescent="0.3">
      <c r="A49" t="s">
        <v>39</v>
      </c>
      <c r="B49" t="s">
        <v>42</v>
      </c>
      <c r="C49" t="s">
        <v>11</v>
      </c>
      <c r="D49" s="5">
        <v>5328212</v>
      </c>
      <c r="E49" t="s">
        <v>13</v>
      </c>
      <c r="F49" t="s">
        <v>17</v>
      </c>
      <c r="G49">
        <v>855</v>
      </c>
      <c r="H49">
        <v>235</v>
      </c>
      <c r="I49" s="4">
        <f t="shared" ref="I49" si="22">G49/($D49/1000000)</f>
        <v>160.46658804116655</v>
      </c>
      <c r="J49" s="3">
        <f t="shared" ref="J49" si="23">H49/G49*100</f>
        <v>27.485380116959064</v>
      </c>
      <c r="K49" s="6" t="s">
        <v>49</v>
      </c>
    </row>
    <row r="50" spans="1:11" x14ac:dyDescent="0.3">
      <c r="A50" t="s">
        <v>39</v>
      </c>
      <c r="B50" t="s">
        <v>42</v>
      </c>
      <c r="C50" t="s">
        <v>11</v>
      </c>
      <c r="D50" s="5">
        <v>5328212</v>
      </c>
      <c r="E50" t="s">
        <v>13</v>
      </c>
      <c r="F50" t="s">
        <v>18</v>
      </c>
      <c r="G50">
        <v>280</v>
      </c>
      <c r="H50">
        <v>65</v>
      </c>
      <c r="I50" s="4">
        <f t="shared" ref="I50:I52" si="24">G50/($D50/1000000)</f>
        <v>52.5504615807329</v>
      </c>
      <c r="J50" s="3">
        <f t="shared" ref="J50:J52" si="25">H50/G50*100</f>
        <v>23.214285714285715</v>
      </c>
      <c r="K50" t="s">
        <v>51</v>
      </c>
    </row>
    <row r="51" spans="1:11" x14ac:dyDescent="0.3">
      <c r="A51" t="s">
        <v>39</v>
      </c>
      <c r="B51" t="s">
        <v>42</v>
      </c>
      <c r="C51" t="s">
        <v>11</v>
      </c>
      <c r="D51" s="5">
        <v>5328212</v>
      </c>
      <c r="E51" t="s">
        <v>14</v>
      </c>
      <c r="F51" t="s">
        <v>17</v>
      </c>
      <c r="G51">
        <v>220</v>
      </c>
      <c r="H51">
        <v>85</v>
      </c>
      <c r="I51" s="4">
        <f t="shared" si="24"/>
        <v>41.289648384861565</v>
      </c>
      <c r="J51" s="3">
        <f t="shared" si="25"/>
        <v>38.636363636363633</v>
      </c>
      <c r="K51" t="s">
        <v>43</v>
      </c>
    </row>
    <row r="52" spans="1:11" x14ac:dyDescent="0.3">
      <c r="A52" t="s">
        <v>39</v>
      </c>
      <c r="B52" t="s">
        <v>42</v>
      </c>
      <c r="C52" t="s">
        <v>11</v>
      </c>
      <c r="D52" s="5">
        <v>5328212</v>
      </c>
      <c r="E52" t="s">
        <v>14</v>
      </c>
      <c r="F52" t="s">
        <v>18</v>
      </c>
      <c r="G52">
        <v>26</v>
      </c>
      <c r="H52">
        <v>10</v>
      </c>
      <c r="I52" s="4">
        <f t="shared" si="24"/>
        <v>4.8796857182109123</v>
      </c>
      <c r="J52" s="3">
        <f t="shared" si="25"/>
        <v>38.461538461538467</v>
      </c>
      <c r="K52" t="s">
        <v>43</v>
      </c>
    </row>
    <row r="54" spans="1:11" x14ac:dyDescent="0.3">
      <c r="K54" s="6"/>
    </row>
    <row r="55" spans="1:11" x14ac:dyDescent="0.3">
      <c r="K55" s="6"/>
    </row>
    <row r="56" spans="1:11" x14ac:dyDescent="0.3">
      <c r="K56" s="6"/>
    </row>
    <row r="57" spans="1:11" x14ac:dyDescent="0.3">
      <c r="K57" s="6"/>
    </row>
    <row r="58" spans="1:11" x14ac:dyDescent="0.3">
      <c r="K58" s="6"/>
    </row>
    <row r="59" spans="1:11" x14ac:dyDescent="0.3">
      <c r="K59" s="6"/>
    </row>
    <row r="60" spans="1:11" x14ac:dyDescent="0.3">
      <c r="K60" s="6"/>
    </row>
    <row r="61" spans="1:11" x14ac:dyDescent="0.3">
      <c r="K61" s="6"/>
    </row>
    <row r="62" spans="1:11" x14ac:dyDescent="0.3">
      <c r="K62" s="6"/>
    </row>
    <row r="63" spans="1:11" x14ac:dyDescent="0.3">
      <c r="K63" s="6"/>
    </row>
    <row r="64" spans="1:11" x14ac:dyDescent="0.3">
      <c r="K64" s="6"/>
    </row>
    <row r="65" spans="11:11" x14ac:dyDescent="0.3">
      <c r="K65" s="6"/>
    </row>
    <row r="66" spans="11:11" x14ac:dyDescent="0.3">
      <c r="K66" s="6"/>
    </row>
    <row r="67" spans="11:11" x14ac:dyDescent="0.3">
      <c r="K67" s="6"/>
    </row>
    <row r="68" spans="11:11" x14ac:dyDescent="0.3">
      <c r="K68" s="6"/>
    </row>
    <row r="69" spans="11:11" x14ac:dyDescent="0.3">
      <c r="K69" s="6"/>
    </row>
    <row r="70" spans="11:11" x14ac:dyDescent="0.3">
      <c r="K70" s="6"/>
    </row>
    <row r="71" spans="11:11" x14ac:dyDescent="0.3">
      <c r="K71" s="6"/>
    </row>
    <row r="72" spans="11:11" x14ac:dyDescent="0.3">
      <c r="K72" s="6"/>
    </row>
    <row r="73" spans="11:11" x14ac:dyDescent="0.3">
      <c r="K73" s="6"/>
    </row>
    <row r="74" spans="11:11" x14ac:dyDescent="0.3">
      <c r="K74" s="6"/>
    </row>
    <row r="75" spans="11:11" x14ac:dyDescent="0.3">
      <c r="K75" s="6"/>
    </row>
    <row r="76" spans="11:11" x14ac:dyDescent="0.3">
      <c r="K76" s="6"/>
    </row>
    <row r="77" spans="11:11" x14ac:dyDescent="0.3">
      <c r="K77" s="6"/>
    </row>
    <row r="78" spans="11:11" x14ac:dyDescent="0.3">
      <c r="K78" s="6"/>
    </row>
    <row r="79" spans="11:11" x14ac:dyDescent="0.3">
      <c r="K79" s="6"/>
    </row>
    <row r="80" spans="11:11" x14ac:dyDescent="0.3">
      <c r="K80" s="6"/>
    </row>
    <row r="81" spans="11:11" x14ac:dyDescent="0.3">
      <c r="K81" s="6"/>
    </row>
    <row r="82" spans="11:11" x14ac:dyDescent="0.3">
      <c r="K82" s="6"/>
    </row>
  </sheetData>
  <autoFilter ref="A3:K125" xr:uid="{708E2F06-3291-4593-AF3F-2F59115A9EF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Svetlana Tikhonenko</dc:creator>
  <cp:lastModifiedBy>Svetlana Tikhonenko</cp:lastModifiedBy>
  <dcterms:created xsi:type="dcterms:W3CDTF">2026-02-17T14:20:03Z</dcterms:created>
  <dcterms:modified xsi:type="dcterms:W3CDTF">2026-02-23T14:23:55Z</dcterms:modified>
</cp:coreProperties>
</file>